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/>
  <mc:AlternateContent xmlns:mc="http://schemas.openxmlformats.org/markup-compatibility/2006">
    <mc:Choice Requires="x15">
      <x15ac:absPath xmlns:x15ac="http://schemas.microsoft.com/office/spreadsheetml/2010/11/ac" url="https://d.docs.live.net/1f7283c468042cc5/"/>
    </mc:Choice>
  </mc:AlternateContent>
  <xr:revisionPtr revIDLastSave="0" documentId="8_{F4E43155-67BB-44C8-A75F-B8201553FD66}" xr6:coauthVersionLast="47" xr6:coauthVersionMax="47" xr10:uidLastSave="{00000000-0000-0000-0000-000000000000}"/>
  <bookViews>
    <workbookView xWindow="1884" yWindow="864" windowWidth="19968" windowHeight="11232" xr2:uid="{88493B48-D0F4-4840-9E95-A3E5BEF0CA6F}"/>
  </bookViews>
  <sheets>
    <sheet name="Order 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6" i="1" l="1"/>
  <c r="H40" i="1" s="1"/>
  <c r="C41" i="1" l="1"/>
  <c r="C42" i="1" s="1"/>
  <c r="H41" i="1" l="1"/>
  <c r="C43" i="1"/>
  <c r="H42" i="1" s="1"/>
</calcChain>
</file>

<file path=xl/sharedStrings.xml><?xml version="1.0" encoding="utf-8"?>
<sst xmlns="http://schemas.openxmlformats.org/spreadsheetml/2006/main" count="97" uniqueCount="75">
  <si>
    <t>ITEM</t>
  </si>
  <si>
    <t>QUANTITY</t>
  </si>
  <si>
    <t>COST/UNIT</t>
  </si>
  <si>
    <t>PORTS/DATA SHEET CHECKED?</t>
  </si>
  <si>
    <t>LINK</t>
  </si>
  <si>
    <t>NOTES</t>
  </si>
  <si>
    <t>RPI 4</t>
  </si>
  <si>
    <t>Y</t>
  </si>
  <si>
    <t>https://www.canakit.com/raspberry-pi-4-4gb.html</t>
  </si>
  <si>
    <t>PV(solar panel)</t>
  </si>
  <si>
    <t>https://www.homedepot.com/p/SKYSHALO-20-Watt-12V-Solar-Panel-Charger-Solar-Battery-Maintainer-with-Smart-MPPT-Controller-and-Adjustable-Mount-2025-Update-ZJKXLDJG20WWXSNAU001Y3-250919/338798208</t>
  </si>
  <si>
    <t>also comes with charger</t>
  </si>
  <si>
    <t>Battery pack</t>
  </si>
  <si>
    <t>https://powerwerx.com/bioenno-blf-1209a-12v-9ah-lithium-iron-pvc?gad_source=1&amp;gad_campaignid=374503082&amp;gbraid=0AAAAAD_u17d739iJ5TSe4ir5c5wVRP5Lm&amp;gclid=CjwKCAjw56zWBhB0EiwAdPOQOQn0J-7BMDXh03JhKfv9E9a0O-g19dWSkn9sdZCvGo24q6VFy_OhDhoCnogQAvD_BwE</t>
  </si>
  <si>
    <t>Camera**</t>
  </si>
  <si>
    <t>https://www.amazon.com/SVPRO-Outdoor-Waterproof-Surveillance-Android/dp/B07C1N9R4Z?crid=3ETF8KH81TTKN&amp;dib=eyJ2IjoiMSJ9.o3AaTDvtcRY6_jgARQOVUJ3crKtbrMI_QAqbZ-46VUApcwJYEaOE7RQEGIfq87lufwb6bGCW4t5zkfDkWnMxah3PfX4eY8WuEvcUE2fFyid2PxZuQYBe6_e4V9K81-47LyOhaLBEF8zZLOttnhKvb_G7SUqmmRMft6Ob6PXtRktLFWI7kD70x5NJOHjvwJoa54W-urjFrc3qqFu9Icxrgp3x_c410wldKqjBV1o2wqE.K59R3Aa-uQyyx4fUwFyMFDyXIS1kJQ1tOWKeeRu5uhQ&amp;dib_tag=se&amp;keywords=usb%2Boutdoor%2Bcamera&amp;qid=1789516069&amp;sprefix=usb%2Boutdoor%2Bcamera%2Caps%2C187&amp;sr=8-3&amp;th=1</t>
  </si>
  <si>
    <t>Pressure sensor</t>
  </si>
  <si>
    <t>https://vxb.com/products/submersible-water-level-transmitter-sensor-for-liq?variant=49142142861547&amp;_gsid=BHB111vRn1tW&amp;utm_source=chatgpt.com&amp;utm_medium=feed</t>
  </si>
  <si>
    <t>3A Fuse</t>
  </si>
  <si>
    <t>https://www.digikey.com/en/products/detail/littelfuse-inc/0235003.HXP/778150?gclsrc=aw.ds&amp;gad_source=1&amp;gad_campaignid=20509825838&amp;gbraid=0AAAAADrbLliOZ3R3xOoDQuBwg34a3QUTr&amp;gclid=CjwKCAjw_9bWBhBGEiwAomyTIqDZFPWoVRsypvaxN5nSMObSnLfiMJCp67h4c5Kz3ydJrPBBRnwZXRoCe8wQAvD_BwE</t>
  </si>
  <si>
    <t>Fuse Holder</t>
  </si>
  <si>
    <t>https://www.digikey.com/en/products/detail/littelfuse-inc/01500274Z/29453</t>
  </si>
  <si>
    <t>Ultrasonic sensor</t>
  </si>
  <si>
    <t>https://www.digikey.com/en/products/detail/dfrobot/SEN0313/11202720?gclsrc=aw.ds&amp;gad_source=1&amp;gad_campaignid=20243136172&amp;gbraid=0AAAAADrbLljzA-nczbmqW1SiXwCr3dv0z&amp;gclid=CjwKCAjw_9bWBhBGEiwAomyTIk6Q6M1qhS4U40Nx0P8JuW85MfIx7_fodTHbIcTkwjCBTCSnS-PrFxoCjZ4QAvD_BwE</t>
  </si>
  <si>
    <t>12V-&gt;5V Buck Converter</t>
  </si>
  <si>
    <t>https://powerwerx.com/usbbuddy2-powerpole-usb-device-charger</t>
  </si>
  <si>
    <t>20AWG Wire</t>
  </si>
  <si>
    <t>https://www.amazon.com/dp/B073QJ28ZQ?lv=shuf&amp;channelId=500&amp;plpRedirect=mhFallback&amp;th=1</t>
  </si>
  <si>
    <t>Modbus to USB adapter</t>
  </si>
  <si>
    <t xml:space="preserve">https://www.digikey.com/en/products/detail/dfrobot/FIT0737/13688358?gclsrc=aw.ds&amp;gad_source=1&amp;gad_campaignid=20476884656&amp;gbraid=0AAAAADrbLlgy9ud0rDQf6KNhbmRjnq4C4&amp;gclid=CjwKCAjw_9bWBhBGEiwAomyTIrW_8BFcT-e7uxJEboR_0AxwtVOZY75uyfJnRMVXtrokxaNawrE3WRoCAMEQAvD_BwE </t>
  </si>
  <si>
    <t>Witty Pi</t>
  </si>
  <si>
    <t>https://www.adafruit.com/product/5038</t>
  </si>
  <si>
    <t>USBA to bare wire</t>
  </si>
  <si>
    <t>https://www.amazon.com/dp/B0FPRCKMNB?lv=shuf&amp;language=zh_TW&amp;channelId=500&amp;plpRedirect=mhFallback&amp;th=1</t>
  </si>
  <si>
    <t>DC barrel plug to screw adapt</t>
  </si>
  <si>
    <t>https://www.digikey.com/en/products/detail/adafruit-industries-llc/369/5629435</t>
  </si>
  <si>
    <t>Electrical Enclosure (no tax, free shipping)</t>
  </si>
  <si>
    <t>https://www.wistexllc.com/enclosures/amp1084ccf-allied-moulded-jic-size-junction-box-screw-cover.html</t>
  </si>
  <si>
    <t>Panel for electrical enclosure</t>
  </si>
  <si>
    <t>PL108 - Allied Moulded Products - White painted carbon steel back panel for use with 10in x 8in enclosures</t>
  </si>
  <si>
    <t>Nylon submersible cord grips</t>
  </si>
  <si>
    <t>https://www.digikey.com/en/products/detail/american-electrical-inc/A1555-07-06/371320</t>
  </si>
  <si>
    <t>1/4" 20 SS screws, nuts, washers</t>
  </si>
  <si>
    <t>https://www.amazon.com/dp/B0F2Y4ZPM6?lv=shuf&amp;channelId=500&amp;plpRedirect=mhFallback&amp;th=1</t>
  </si>
  <si>
    <t xml:space="preserve">This is a set of 5 same amount they used on the stonefly </t>
  </si>
  <si>
    <t>1/4" swivel mini ball head tripod mount</t>
  </si>
  <si>
    <t>https://www.amazon.com/dp/B08M47S5CW?ref=clp_hp_h_pc&amp;th=1</t>
  </si>
  <si>
    <t>1/4" female to M6 male threaded screw adapter</t>
  </si>
  <si>
    <t>https://www.amazon.com/dp/B0DQKKWFVS?plpRedirect=mhFallback&amp;ref=clp_hp_h_pc&amp;th=1</t>
  </si>
  <si>
    <t>Velcro</t>
  </si>
  <si>
    <t>https://www.homedepot.com/p/VELCRO-30-in-Cinch-Strap-VEL-30840-USA/324636610?MERCH=REC-_-pipsem-_-202261929-_-0-_-n/a-_-n/a-_-n/a-_-n/a-_-n/a#see-more-details</t>
  </si>
  <si>
    <t>16-18 AWG outdoor rated cable</t>
  </si>
  <si>
    <t>https://www.homedepot.com/p/Cerrowire-50-ft-16-2-Black-Stranded-Low-Voltage-Landscape-Lighting-Wire-241-1202B/202206444#see-more-details</t>
  </si>
  <si>
    <t>Black ABS Sheet</t>
  </si>
  <si>
    <t>https://www.amazon.com/Black-Plastic-1-Pack-Textured-Smooth/dp/B0FRSWYT3Z/ref=sr_1_1_sspa?dib=eyJ2IjoiMSJ9.Mec5jvPeNknVrMadqG91omPmO5Yv9oRf8F2n0Pb-D8B20KTXw0Qpvomykl-hMnnYfo_k9O_yH4vN2thGRC5LsU-PxVaX9LidMPRDvwJzjibIFVf-FlMFs3kUePqTo9xaI-4VsJu04mnLtqCEO_6iqUJK-rjQP0Figf7ekZT1_dJr3lecgGbMLc9JIejBpR5B8lxXq213czzFTIHyDfQ2WQpLJKut6auvP_hOaYeV0iA.DG4vD6EkBjdbcwYHwV9c2SBumkB2Y7pQFVW9ktL5vkE&amp;dib_tag=se&amp;keywords=abs%2Bplastic%2Bsheet&amp;qid=1790117919&amp;sr=8-1-spons&amp;sp_csd=d2lkZ2V0TmFtZT1zcF9hdGY&amp;th=1</t>
  </si>
  <si>
    <t>Heavy duty banding system</t>
  </si>
  <si>
    <t>https://www.amazon.com/gp/product/B0GGZ4NR5B/ref=ox_sc_act_title_1?smid=ATVPDKIKX0DER&amp;psc=1</t>
  </si>
  <si>
    <t>Side of pole solar panel mount</t>
  </si>
  <si>
    <t>https://www.digikey.com/en/products/detail/tycon-systems-inc/TPSM-10-15-SP/13919976</t>
  </si>
  <si>
    <t>USB WiFi Adapter</t>
  </si>
  <si>
    <t xml:space="preserve">https://www.digikey.com/en/products/detail/sanoxy/SANOXY-300-ADPT-ANT/15780478?gclsrc=aw.ds&amp;gad_source=1&amp;gad_campaignid=23033451739&amp;gbraid=0AAAAADrbLli8nZIMluKqj5tTAERJeqwjI&amp;gclid=CjwKCAjw_ </t>
  </si>
  <si>
    <t>SD card (128GB)</t>
  </si>
  <si>
    <t>https://www.amazon.com/SanDisk-Extreme-microSDXC-Memory-Adapter/dp/B09X7BK27V/ref=sr_1_1?crid=3KHDWWZ6WS1LB&amp;dib=eyJ2IjoiMSJ9.c7kpdEw6lW7whup1akInVT8u5UYQcKafh6fIlzqp1Jq0ZWdIvYwBSdCLFWdECgjORyMRd5aStyhIaW1-KdQMjFEqWvHNhawQJXUbGzkY3qPLE3cJKddVrfgtzJl7nbUKEuQznMau5wuytcLtBGm1Db86pqW1s_zRGu8opVQk1IqymQMSyzdXGDiaDqQ_o0lrDY3z-4Qwx92Fq68hkJO5X9gpsX4AfrQaVffugWLKm5yG3B2gZSRGtkmRLUlHO5XiXkTD4-0BZZmuwYLrV1Fwuk0fQaE8xOJ6DCJOktFjQss.TEC0EpmBeKcJqkXBjfo6Ir4QLdCv9RF5rzFzaqiuv9Y&amp;dib_tag=se&amp;keywords=sandisk+128+gb+microsd&amp;qid=1792701723&amp;s=electronics&amp;sprefix=sandisk+128+gb+micro%2Celectronics%2C537&amp;sr=1-1</t>
  </si>
  <si>
    <t xml:space="preserve">*NOTES: 
IF ADDING TO THIS LIST, MAKE SURE TO ALSO ADD TO THE DATA SHEET. 
TRY TO LIMIT THE WEBSITES ORDERED FROM TO DECREASE SHIPPING COSTS
WE NEED TO FIGURE OUT A QUANTITY FOR ALL SCREWS, NUTS, WASHERS
</t>
  </si>
  <si>
    <t>**Are buying the cam or is it going to be supplied?</t>
  </si>
  <si>
    <t>Net Total</t>
  </si>
  <si>
    <t>(Total does not include shipping and taxes!)</t>
  </si>
  <si>
    <t>Total will probably be around 110% of the gross figure ~ $825-900</t>
  </si>
  <si>
    <t>Tax rates and shipping vary by distributor and order</t>
  </si>
  <si>
    <t>Gross Total</t>
  </si>
  <si>
    <t>10% tax+ship projection</t>
  </si>
  <si>
    <t>Tax</t>
  </si>
  <si>
    <t>Gross Total projection</t>
  </si>
  <si>
    <t>Remaining</t>
  </si>
  <si>
    <t>Remaining Funds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</si>
</sst>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charset val="1"/>
    </font>
    <font>
      <i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0" xfId="0" applyFont="1"/>
    <xf numFmtId="0" fontId="0" fillId="3" borderId="4" xfId="0" applyFill="1" applyBorder="1"/>
    <xf numFmtId="0" fontId="0" fillId="0" borderId="5" xfId="0" applyBorder="1" applyAlignment="1">
      <alignment horizontal="center"/>
    </xf>
    <xf numFmtId="8" fontId="0" fillId="0" borderId="5" xfId="0" applyNumberFormat="1" applyBorder="1" applyAlignment="1">
      <alignment horizontal="center"/>
    </xf>
    <xf numFmtId="0" fontId="2" fillId="0" borderId="6" xfId="1" applyBorder="1"/>
    <xf numFmtId="0" fontId="0" fillId="3" borderId="7" xfId="0" applyFill="1" applyBorder="1"/>
    <xf numFmtId="0" fontId="0" fillId="0" borderId="8" xfId="0" applyBorder="1" applyAlignment="1">
      <alignment horizontal="center"/>
    </xf>
    <xf numFmtId="8" fontId="0" fillId="0" borderId="8" xfId="0" applyNumberFormat="1" applyBorder="1" applyAlignment="1">
      <alignment horizontal="center"/>
    </xf>
    <xf numFmtId="0" fontId="2" fillId="3" borderId="9" xfId="1" applyFill="1" applyBorder="1"/>
    <xf numFmtId="0" fontId="2" fillId="4" borderId="9" xfId="1" applyFill="1" applyBorder="1"/>
    <xf numFmtId="0" fontId="2" fillId="5" borderId="9" xfId="1" applyFill="1" applyBorder="1"/>
    <xf numFmtId="0" fontId="2" fillId="0" borderId="9" xfId="1" applyBorder="1"/>
    <xf numFmtId="0" fontId="2" fillId="6" borderId="9" xfId="1" applyFill="1" applyBorder="1"/>
    <xf numFmtId="0" fontId="3" fillId="3" borderId="7" xfId="0" applyFont="1" applyFill="1" applyBorder="1"/>
    <xf numFmtId="0" fontId="0" fillId="3" borderId="10" xfId="0" applyFill="1" applyBorder="1"/>
    <xf numFmtId="0" fontId="0" fillId="0" borderId="11" xfId="0" applyBorder="1" applyAlignment="1">
      <alignment horizontal="center"/>
    </xf>
    <xf numFmtId="8" fontId="0" fillId="0" borderId="11" xfId="0" applyNumberFormat="1" applyBorder="1" applyAlignment="1">
      <alignment horizontal="center"/>
    </xf>
    <xf numFmtId="0" fontId="2" fillId="6" borderId="0" xfId="1" applyFill="1"/>
    <xf numFmtId="0" fontId="0" fillId="4" borderId="4" xfId="0" applyFill="1" applyBorder="1"/>
    <xf numFmtId="0" fontId="0" fillId="4" borderId="12" xfId="0" applyFill="1" applyBorder="1"/>
    <xf numFmtId="0" fontId="0" fillId="0" borderId="13" xfId="0" applyBorder="1" applyAlignment="1">
      <alignment horizontal="center"/>
    </xf>
    <xf numFmtId="8" fontId="0" fillId="0" borderId="13" xfId="0" applyNumberFormat="1" applyBorder="1" applyAlignment="1">
      <alignment horizontal="center"/>
    </xf>
    <xf numFmtId="0" fontId="2" fillId="0" borderId="0" xfId="1"/>
    <xf numFmtId="0" fontId="0" fillId="4" borderId="7" xfId="0" applyFill="1" applyBorder="1"/>
    <xf numFmtId="16" fontId="0" fillId="4" borderId="7" xfId="0" applyNumberFormat="1" applyFill="1" applyBorder="1"/>
    <xf numFmtId="0" fontId="2" fillId="5" borderId="0" xfId="1" applyFill="1"/>
    <xf numFmtId="0" fontId="4" fillId="4" borderId="7" xfId="0" applyFont="1" applyFill="1" applyBorder="1"/>
    <xf numFmtId="0" fontId="2" fillId="3" borderId="0" xfId="1" applyFill="1" applyBorder="1"/>
    <xf numFmtId="0" fontId="2" fillId="5" borderId="0" xfId="1" applyFill="1" applyBorder="1"/>
    <xf numFmtId="0" fontId="4" fillId="4" borderId="10" xfId="0" applyFont="1" applyFill="1" applyBorder="1"/>
    <xf numFmtId="0" fontId="2" fillId="6" borderId="14" xfId="1" applyFill="1" applyBorder="1"/>
    <xf numFmtId="0" fontId="0" fillId="5" borderId="10" xfId="0" applyFill="1" applyBorder="1"/>
    <xf numFmtId="0" fontId="0" fillId="5" borderId="7" xfId="0" applyFill="1" applyBorder="1"/>
    <xf numFmtId="0" fontId="2" fillId="5" borderId="9" xfId="1" applyFill="1" applyBorder="1" applyAlignment="1"/>
    <xf numFmtId="0" fontId="0" fillId="0" borderId="0" xfId="0" applyAlignment="1">
      <alignment horizontal="center"/>
    </xf>
    <xf numFmtId="8" fontId="0" fillId="0" borderId="0" xfId="0" applyNumberFormat="1" applyAlignment="1">
      <alignment horizontal="center"/>
    </xf>
    <xf numFmtId="8" fontId="0" fillId="0" borderId="0" xfId="0" applyNumberFormat="1"/>
    <xf numFmtId="0" fontId="0" fillId="7" borderId="7" xfId="0" applyFill="1" applyBorder="1"/>
    <xf numFmtId="0" fontId="0" fillId="7" borderId="8" xfId="0" applyFill="1" applyBorder="1" applyAlignment="1">
      <alignment horizontal="center"/>
    </xf>
    <xf numFmtId="8" fontId="0" fillId="7" borderId="8" xfId="0" applyNumberFormat="1" applyFill="1" applyBorder="1" applyAlignment="1">
      <alignment horizontal="center"/>
    </xf>
    <xf numFmtId="0" fontId="2" fillId="7" borderId="9" xfId="1" applyFill="1" applyBorder="1"/>
    <xf numFmtId="0" fontId="0" fillId="7" borderId="0" xfId="0" applyFill="1"/>
    <xf numFmtId="0" fontId="5" fillId="6" borderId="15" xfId="0" applyFont="1" applyFill="1" applyBorder="1" applyAlignment="1">
      <alignment horizontal="left" vertical="top" wrapText="1"/>
    </xf>
    <xf numFmtId="0" fontId="5" fillId="6" borderId="16" xfId="0" applyFont="1" applyFill="1" applyBorder="1" applyAlignment="1">
      <alignment horizontal="left" vertical="top" wrapText="1"/>
    </xf>
    <xf numFmtId="0" fontId="5" fillId="6" borderId="17" xfId="0" applyFont="1" applyFill="1" applyBorder="1" applyAlignment="1">
      <alignment horizontal="left" vertical="top" wrapText="1"/>
    </xf>
    <xf numFmtId="0" fontId="5" fillId="6" borderId="18" xfId="0" applyFont="1" applyFill="1" applyBorder="1" applyAlignment="1">
      <alignment horizontal="left" vertical="top" wrapText="1"/>
    </xf>
    <xf numFmtId="0" fontId="5" fillId="6" borderId="0" xfId="0" applyFont="1" applyFill="1" applyAlignment="1">
      <alignment horizontal="left" vertical="top" wrapText="1"/>
    </xf>
    <xf numFmtId="0" fontId="5" fillId="6" borderId="19" xfId="0" applyFont="1" applyFill="1" applyBorder="1" applyAlignment="1">
      <alignment horizontal="left" vertical="top" wrapText="1"/>
    </xf>
    <xf numFmtId="0" fontId="5" fillId="6" borderId="20" xfId="0" applyFont="1" applyFill="1" applyBorder="1" applyAlignment="1">
      <alignment horizontal="left" vertical="top" wrapText="1"/>
    </xf>
    <xf numFmtId="0" fontId="5" fillId="6" borderId="21" xfId="0" applyFont="1" applyFill="1" applyBorder="1" applyAlignment="1">
      <alignment horizontal="left" vertical="top" wrapText="1"/>
    </xf>
    <xf numFmtId="0" fontId="5" fillId="6" borderId="22" xfId="0" applyFont="1" applyFill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 Estimate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1ED-4E72-A4D0-D98CDEF6E4E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1ED-4E72-A4D0-D98CDEF6E4E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1ED-4E72-A4D0-D98CDEF6E4E8}"/>
              </c:ext>
            </c:extLst>
          </c:dPt>
          <c:cat>
            <c:strRef>
              <c:f>'Order Sheet'!$G$40:$G$42</c:f>
              <c:strCache>
                <c:ptCount val="3"/>
                <c:pt idx="0">
                  <c:v>Gross Total</c:v>
                </c:pt>
                <c:pt idx="1">
                  <c:v>Tax</c:v>
                </c:pt>
                <c:pt idx="2">
                  <c:v>Remaining</c:v>
                </c:pt>
              </c:strCache>
            </c:strRef>
          </c:cat>
          <c:val>
            <c:numRef>
              <c:f>'Order Sheet'!$H$40:$H$42</c:f>
              <c:numCache>
                <c:formatCode>"$"#,##0.00_);[Red]\("$"#,##0.00\)</c:formatCode>
                <c:ptCount val="3"/>
                <c:pt idx="0">
                  <c:v>851.68000000000006</c:v>
                </c:pt>
                <c:pt idx="1">
                  <c:v>85.168000000000006</c:v>
                </c:pt>
                <c:pt idx="2">
                  <c:v>263.15199999999982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1ED-4E72-A4D0-D98CDEF6E4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366155</xdr:colOff>
      <xdr:row>34</xdr:row>
      <xdr:rowOff>3958</xdr:rowOff>
    </xdr:from>
    <xdr:to>
      <xdr:col>4</xdr:col>
      <xdr:colOff>2968831</xdr:colOff>
      <xdr:row>49</xdr:row>
      <xdr:rowOff>75210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B47AB6-2928-4EBF-93F3-6D9BF4B287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com/dp/B08M47S5CW?ref=clp_hp_h_pc&amp;th=1" TargetMode="External"/><Relationship Id="rId13" Type="http://schemas.openxmlformats.org/officeDocument/2006/relationships/hyperlink" Target="https://vxb.com/products/submersible-water-level-transmitter-sensor-for-liq?variant=49142142861547&amp;_gsid=BHB111vRn1tW&amp;utm_source=chatgpt.com&amp;utm_medium=feed" TargetMode="External"/><Relationship Id="rId18" Type="http://schemas.openxmlformats.org/officeDocument/2006/relationships/hyperlink" Target="https://www.amazon.com/gp/product/B0GGZ4NR5B/ref=ox_sc_act_title_1?smid=ATVPDKIKX0DER&amp;psc=1" TargetMode="External"/><Relationship Id="rId26" Type="http://schemas.openxmlformats.org/officeDocument/2006/relationships/hyperlink" Target="https://www.amazon.com/SanDisk-Extreme-microSDXC-Memory-Adapter/dp/B09X7BK27V/ref=sr_1_1?crid=3KHDWWZ6WS1LB&amp;dib=eyJ2IjoiMSJ9.c7kpdEw6lW7whup1akInVT8u5UYQcKafh6fIlzqp1Jq0ZWdIvYwBSdCLFWdECgjORyMRd5aStyhIaW1-KdQMjFEqWvHNhawQJXUbGzkY3qPLE3cJKddVrfgtzJl7nbUKEuQznMau5wuytcLtBGm1Db86pqW1s_zRGu8opVQk1IqymQMSyzdXGDiaDqQ_o0lrDY3z-4Qwx92Fq68hkJO5X9gpsX4AfrQaVffugWLKm5yG3B2gZSRGtkmRLUlHO5XiXkTD4-0BZZmuwYLrV1Fwuk0fQaE8xOJ6DCJOktFjQss.TEC0EpmBeKcJqkXBjfo6Ir4QLdCv9RF5rzFzaqiuv9Y&amp;dib_tag=se&amp;keywords=sandisk+128+gb+microsd&amp;qid=1792701723&amp;s=electronics&amp;sprefix=sandisk+128+gb+micro%2Celectronics%2C537&amp;sr=1-1" TargetMode="External"/><Relationship Id="rId3" Type="http://schemas.openxmlformats.org/officeDocument/2006/relationships/hyperlink" Target="https://www.homedepot.com/p/VELCRO-30-in-Cinch-Strap-VEL-30840-USA/324636610?MERCH=REC-_-pipsem-_-202261929-_-0-_-n/a-_-n/a-_-n/a-_-n/a-_-n/a" TargetMode="External"/><Relationship Id="rId21" Type="http://schemas.openxmlformats.org/officeDocument/2006/relationships/hyperlink" Target="https://www.wistexllc.com/enclosures/pl108-10-x-8-white-painted-carbon-steel-back-panel.html" TargetMode="External"/><Relationship Id="rId7" Type="http://schemas.openxmlformats.org/officeDocument/2006/relationships/hyperlink" Target="https://www.amazon.com/dp/B0F2Y4ZPM6?lv=shuf&amp;channelId=500&amp;plpRedirect=mhFallback&amp;th=1" TargetMode="External"/><Relationship Id="rId12" Type="http://schemas.openxmlformats.org/officeDocument/2006/relationships/hyperlink" Target="https://www.canakit.com/raspberry-pi-4-4gb.html" TargetMode="External"/><Relationship Id="rId17" Type="http://schemas.openxmlformats.org/officeDocument/2006/relationships/hyperlink" Target="https://www.digikey.com/en/products/detail/tycon-systems-inc/TPSM-10-15-SP/13919976" TargetMode="External"/><Relationship Id="rId25" Type="http://schemas.openxmlformats.org/officeDocument/2006/relationships/hyperlink" Target="https://www.digikey.com/en/products/detail/littelfuse-inc/01500274Z/29453" TargetMode="External"/><Relationship Id="rId2" Type="http://schemas.openxmlformats.org/officeDocument/2006/relationships/hyperlink" Target="https://www.amazon.com/Black-Plastic-1-Pack-Textured-Smooth/dp/B0FRSWYT3Z/ref=sr_1_1_sspa?dib=eyJ2IjoiMSJ9.Mec5jvPeNknVrMadqG91omPmO5Yv9oRf8F2n0Pb-D8B20KTXw0Qpvomykl-hMnnYfo_k9O_yH4vN2thGRC5LsU-PxVaX9LidMPRDvwJzjibIFVf-FlMFs3kUePqTo9xaI-4VsJu04mnLtqCEO_6iqUJK-rjQP0Figf7ekZT1_dJr3lecgGbMLc9JIejBpR5B8lxXq213czzFTIHyDfQ2WQpLJKut6auvP_hOaYeV0iA.DG4vD6EkBjdbcwYHwV9c2SBumkB2Y7pQFVW9ktL5vkE&amp;dib_tag=se&amp;keywords=abs%2Bplastic%2Bsheet&amp;qid=1790117919&amp;sr=8-1-spons&amp;sp_csd=d2lkZ2V0TmFtZT1zcF9hdGY&amp;th=1" TargetMode="External"/><Relationship Id="rId16" Type="http://schemas.openxmlformats.org/officeDocument/2006/relationships/hyperlink" Target="https://www.digikey.com/en/products/detail/american-electrical-inc/A1555-07-06/371320" TargetMode="External"/><Relationship Id="rId20" Type="http://schemas.openxmlformats.org/officeDocument/2006/relationships/hyperlink" Target="https://www.digikey.com/en/products/detail/dfrobot/FIT0737/13688358?gclsrc=aw.ds&amp;gad_source=1&amp;gad_campaignid=20476884656&amp;gbraid=0AAAAADrbLlgy9ud0rDQf6KNhbmRjnq4C4&amp;gclid=CjwKCAjw_9bWBhBGEiwAomyTIrW_8BFcT-e7uxJEboR_0AxwtVOZY75uyfJnRMVXtrokxaNawrE3WRoCAMEQAvD_BwE" TargetMode="External"/><Relationship Id="rId1" Type="http://schemas.openxmlformats.org/officeDocument/2006/relationships/hyperlink" Target="https://powerwerx.com/usbbuddy2-powerpole-usb-device-charger" TargetMode="External"/><Relationship Id="rId6" Type="http://schemas.openxmlformats.org/officeDocument/2006/relationships/hyperlink" Target="https://www.digikey.com/en/products/detail/adafruit-industries-llc/369/5629435" TargetMode="External"/><Relationship Id="rId11" Type="http://schemas.openxmlformats.org/officeDocument/2006/relationships/hyperlink" Target="https://www.homedepot.com/p/SKYSHALO-20-Watt-12V-Solar-Panel-Charger-Solar-Battery-Maintainer-with-Smart-MPPT-Controller-and-Adjustable-Mount-2025-Update-ZJKXLDJG20WWXSNAU001Y3-250919/338798208" TargetMode="External"/><Relationship Id="rId24" Type="http://schemas.openxmlformats.org/officeDocument/2006/relationships/hyperlink" Target="https://www.amazon.com/dp/B073QJ28ZQ?lv=shuf&amp;channelId=500&amp;plpRedirect=mhFallback&amp;th=1" TargetMode="External"/><Relationship Id="rId5" Type="http://schemas.openxmlformats.org/officeDocument/2006/relationships/hyperlink" Target="https://www.amazon.com/dp/B0FPRCKMNB?lv=shuf&amp;language=zh_TW&amp;channelId=500&amp;plpRedirect=mhFallback&amp;th=1" TargetMode="External"/><Relationship Id="rId15" Type="http://schemas.openxmlformats.org/officeDocument/2006/relationships/hyperlink" Target="https://www.wistexllc.com/enclosures/amp1084ccf-allied-moulded-jic-size-junction-box-screw-cover.html" TargetMode="External"/><Relationship Id="rId23" Type="http://schemas.openxmlformats.org/officeDocument/2006/relationships/hyperlink" Target="https://www.amazon.com/SVPRO-Outdoor-Waterproof-Surveillance-Android/dp/B07C1N9R4Z?crid=3ETF8KH81TTKN&amp;dib=eyJ2IjoiMSJ9.o3AaTDvtcRY6_jgARQOVUJ3crKtbrMI_QAqbZ-46VUApcwJYEaOE7RQEGIfq87lufwb6bGCW4t5zkfDkWnMxah3PfX4eY8WuEvcUE2fFyid2PxZuQYBe6_e4V9K81-47LyOhaLBEF8zZLOttnhKvb_G7SUqmmRMft6Ob6PXtRktLFWI7kD70x5NJOHjvwJoa54W-urjFrc3qqFu9Icxrgp3x_c410wldKqjBV1o2wqE.K59R3Aa-uQyyx4fUwFyMFDyXIS1kJQ1tOWKeeRu5uhQ&amp;dib_tag=se&amp;keywords=usb%2Boutdoor%2Bcamera&amp;qid=1789516069&amp;sprefix=usb%2Boutdoor%2Bcamera%2Caps%2C187&amp;sr=8-3&amp;th=1" TargetMode="External"/><Relationship Id="rId28" Type="http://schemas.openxmlformats.org/officeDocument/2006/relationships/drawing" Target="../drawings/drawing1.xml"/><Relationship Id="rId10" Type="http://schemas.openxmlformats.org/officeDocument/2006/relationships/hyperlink" Target="https://powerwerx.com/bioenno-blf-1209a-12v-9ah-lithium-iron-pvc?gad_source=1&amp;gad_campaignid=374503082&amp;gbraid=0AAAAAD_u17d739iJ5TSe4ir5c5wVRP5Lm&amp;gclid=CjwKCAjw56zWBhB0EiwAdPOQOQn0J-7BMDXh03JhKfv9E9a0O-g19dWSkn9sdZCvGo24q6VFy_OhDhoCnogQAvD_BwE" TargetMode="External"/><Relationship Id="rId19" Type="http://schemas.openxmlformats.org/officeDocument/2006/relationships/hyperlink" Target="https://www.adafruit.com/product/5038" TargetMode="External"/><Relationship Id="rId4" Type="http://schemas.openxmlformats.org/officeDocument/2006/relationships/hyperlink" Target="https://www.amazon.com/dp/B0DQKKWFVS?plpRedirect=mhFallback&amp;ref=clp_hp_h_pc&amp;th=1" TargetMode="External"/><Relationship Id="rId9" Type="http://schemas.openxmlformats.org/officeDocument/2006/relationships/hyperlink" Target="https://www.homedepot.com/p/Cerrowire-50-ft-16-2-Black-Stranded-Low-Voltage-Landscape-Lighting-Wire-241-1202B/202206444" TargetMode="External"/><Relationship Id="rId14" Type="http://schemas.openxmlformats.org/officeDocument/2006/relationships/hyperlink" Target="https://www.digikey.com/en/products/detail/dfrobot/SEN0313/11202720?gclsrc=aw.ds&amp;gad_source=1&amp;gad_campaignid=20243136172&amp;gbraid=0AAAAADrbLljzA-nczbmqW1SiXwCr3dv0z&amp;gclid=CjwKCAjw_9bWBhBGEiwAomyTIk6Q6M1qhS4U40Nx0P8JuW85MfIx7_fodTHbIcTkwjCBTCSnS-PrFxoCjZ4QAvD_BwE" TargetMode="External"/><Relationship Id="rId22" Type="http://schemas.openxmlformats.org/officeDocument/2006/relationships/hyperlink" Target="https://www.digikey.com/en/products/detail/littelfuse-inc/0235003.HXP/778150?gclsrc=aw.ds&amp;gad_source=1&amp;gad_campaignid=20509825838&amp;gbraid=0AAAAADrbLliOZ3R3xOoDQuBwg34a3QUTr&amp;gclid=CjwKCAjw_9bWBhBGEiwAomyTIqDZFPWoVRsypvaxN5nSMObSnLfiMJCp67h4c5Kz3ydJrPBBRnwZXRoCe8wQAvD_BwE" TargetMode="External"/><Relationship Id="rId27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8F04A-5A6B-46D4-842B-95742BDC9879}">
  <dimension ref="A1:P43"/>
  <sheetViews>
    <sheetView tabSelected="1" zoomScale="77" workbookViewId="0">
      <selection activeCell="C34" sqref="C34"/>
    </sheetView>
  </sheetViews>
  <sheetFormatPr defaultRowHeight="14.45"/>
  <cols>
    <col min="1" max="1" width="39.28515625" customWidth="1"/>
    <col min="2" max="4" width="28.7109375" style="38" customWidth="1"/>
    <col min="5" max="5" width="80.7109375" customWidth="1"/>
  </cols>
  <sheetData>
    <row r="1" spans="1:6" ht="15" thickBo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</row>
    <row r="2" spans="1:6">
      <c r="A2" s="5" t="s">
        <v>6</v>
      </c>
      <c r="B2" s="6">
        <v>1</v>
      </c>
      <c r="C2" s="7">
        <v>100</v>
      </c>
      <c r="D2" s="6" t="s">
        <v>7</v>
      </c>
      <c r="E2" s="8" t="s">
        <v>8</v>
      </c>
    </row>
    <row r="3" spans="1:6">
      <c r="A3" s="9" t="s">
        <v>9</v>
      </c>
      <c r="B3" s="10">
        <v>1</v>
      </c>
      <c r="C3" s="11">
        <v>34.99</v>
      </c>
      <c r="D3" s="10" t="s">
        <v>7</v>
      </c>
      <c r="E3" s="12" t="s">
        <v>10</v>
      </c>
      <c r="F3" t="s">
        <v>11</v>
      </c>
    </row>
    <row r="4" spans="1:6" s="45" customFormat="1">
      <c r="A4" s="41" t="s">
        <v>12</v>
      </c>
      <c r="B4" s="42">
        <v>1</v>
      </c>
      <c r="C4" s="43">
        <v>99.99</v>
      </c>
      <c r="D4" s="42" t="s">
        <v>7</v>
      </c>
      <c r="E4" s="44" t="s">
        <v>13</v>
      </c>
    </row>
    <row r="5" spans="1:6">
      <c r="A5" s="9" t="s">
        <v>14</v>
      </c>
      <c r="B5" s="10">
        <v>1</v>
      </c>
      <c r="C5" s="11">
        <v>39.89</v>
      </c>
      <c r="D5" s="10" t="s">
        <v>7</v>
      </c>
      <c r="E5" s="14" t="s">
        <v>15</v>
      </c>
    </row>
    <row r="6" spans="1:6">
      <c r="A6" s="9" t="s">
        <v>16</v>
      </c>
      <c r="B6" s="10">
        <v>1</v>
      </c>
      <c r="C6" s="11">
        <v>77.77</v>
      </c>
      <c r="D6" s="10" t="s">
        <v>7</v>
      </c>
      <c r="E6" s="15" t="s">
        <v>17</v>
      </c>
    </row>
    <row r="7" spans="1:6">
      <c r="A7" s="9" t="s">
        <v>18</v>
      </c>
      <c r="B7" s="10">
        <v>5</v>
      </c>
      <c r="C7" s="11">
        <v>0.74</v>
      </c>
      <c r="D7" s="10" t="s">
        <v>7</v>
      </c>
      <c r="E7" s="16" t="s">
        <v>19</v>
      </c>
    </row>
    <row r="8" spans="1:6" ht="15">
      <c r="A8" s="9" t="s">
        <v>20</v>
      </c>
      <c r="B8" s="10">
        <v>2</v>
      </c>
      <c r="C8" s="11">
        <v>4</v>
      </c>
      <c r="D8" s="10" t="s">
        <v>7</v>
      </c>
      <c r="E8" s="16" t="s">
        <v>21</v>
      </c>
    </row>
    <row r="9" spans="1:6">
      <c r="A9" s="9" t="s">
        <v>22</v>
      </c>
      <c r="B9" s="10">
        <v>1</v>
      </c>
      <c r="C9" s="11">
        <v>31.12</v>
      </c>
      <c r="D9" s="10" t="s">
        <v>7</v>
      </c>
      <c r="E9" s="16" t="s">
        <v>23</v>
      </c>
    </row>
    <row r="10" spans="1:6">
      <c r="A10" s="9" t="s">
        <v>24</v>
      </c>
      <c r="B10" s="10">
        <v>1</v>
      </c>
      <c r="C10" s="11">
        <v>27.99</v>
      </c>
      <c r="D10" s="10" t="s">
        <v>7</v>
      </c>
      <c r="E10" s="13" t="s">
        <v>25</v>
      </c>
    </row>
    <row r="11" spans="1:6">
      <c r="A11" s="9" t="s">
        <v>26</v>
      </c>
      <c r="B11" s="10">
        <v>1</v>
      </c>
      <c r="C11" s="11">
        <v>14.99</v>
      </c>
      <c r="D11" s="10" t="s">
        <v>7</v>
      </c>
      <c r="E11" s="14" t="s">
        <v>27</v>
      </c>
    </row>
    <row r="12" spans="1:6">
      <c r="A12" s="17" t="s">
        <v>28</v>
      </c>
      <c r="B12" s="10">
        <v>1</v>
      </c>
      <c r="C12" s="11">
        <v>8.5</v>
      </c>
      <c r="D12" s="10" t="s">
        <v>7</v>
      </c>
      <c r="E12" s="16" t="s">
        <v>29</v>
      </c>
    </row>
    <row r="13" spans="1:6">
      <c r="A13" s="9" t="s">
        <v>30</v>
      </c>
      <c r="B13" s="10">
        <v>1</v>
      </c>
      <c r="C13" s="11">
        <v>24.95</v>
      </c>
      <c r="D13" s="10" t="s">
        <v>7</v>
      </c>
      <c r="E13" s="15" t="s">
        <v>31</v>
      </c>
    </row>
    <row r="14" spans="1:6">
      <c r="A14" s="9" t="s">
        <v>32</v>
      </c>
      <c r="B14" s="10">
        <v>1</v>
      </c>
      <c r="C14" s="11">
        <v>7.89</v>
      </c>
      <c r="D14" s="10" t="s">
        <v>7</v>
      </c>
      <c r="E14" s="14" t="s">
        <v>33</v>
      </c>
    </row>
    <row r="15" spans="1:6" ht="15" thickBot="1">
      <c r="A15" s="18" t="s">
        <v>34</v>
      </c>
      <c r="B15" s="19">
        <v>1</v>
      </c>
      <c r="C15" s="20">
        <v>2</v>
      </c>
      <c r="D15" s="19" t="s">
        <v>7</v>
      </c>
      <c r="E15" s="21" t="s">
        <v>35</v>
      </c>
    </row>
    <row r="16" spans="1:6">
      <c r="A16" s="22" t="s">
        <v>36</v>
      </c>
      <c r="B16" s="6">
        <v>1</v>
      </c>
      <c r="C16" s="7">
        <v>58.54</v>
      </c>
      <c r="D16" s="6" t="s">
        <v>7</v>
      </c>
      <c r="E16" s="8" t="s">
        <v>37</v>
      </c>
    </row>
    <row r="17" spans="1:16">
      <c r="A17" s="23" t="s">
        <v>38</v>
      </c>
      <c r="B17" s="24">
        <v>1</v>
      </c>
      <c r="C17" s="25">
        <v>9.94</v>
      </c>
      <c r="D17" s="24" t="s">
        <v>7</v>
      </c>
      <c r="E17" s="26" t="s">
        <v>39</v>
      </c>
    </row>
    <row r="18" spans="1:16" ht="15">
      <c r="A18" s="27" t="s">
        <v>40</v>
      </c>
      <c r="B18" s="10">
        <v>3</v>
      </c>
      <c r="C18" s="11">
        <v>1.97</v>
      </c>
      <c r="D18" s="10" t="s">
        <v>7</v>
      </c>
      <c r="E18" s="21" t="s">
        <v>41</v>
      </c>
    </row>
    <row r="19" spans="1:16">
      <c r="A19" s="28" t="s">
        <v>42</v>
      </c>
      <c r="B19" s="10">
        <v>5</v>
      </c>
      <c r="C19" s="11">
        <v>8.89</v>
      </c>
      <c r="D19" s="10" t="s">
        <v>7</v>
      </c>
      <c r="E19" s="29" t="s">
        <v>43</v>
      </c>
      <c r="P19" t="s">
        <v>44</v>
      </c>
    </row>
    <row r="20" spans="1:16">
      <c r="A20" s="30" t="s">
        <v>45</v>
      </c>
      <c r="B20" s="10">
        <v>1</v>
      </c>
      <c r="C20" s="11">
        <v>7.99</v>
      </c>
      <c r="D20" s="10"/>
      <c r="E20" s="14" t="s">
        <v>46</v>
      </c>
    </row>
    <row r="21" spans="1:16">
      <c r="A21" s="30" t="s">
        <v>47</v>
      </c>
      <c r="B21" s="10">
        <v>1</v>
      </c>
      <c r="C21" s="11">
        <v>7.89</v>
      </c>
      <c r="D21" s="10"/>
      <c r="E21" s="14" t="s">
        <v>48</v>
      </c>
    </row>
    <row r="22" spans="1:16">
      <c r="A22" s="27" t="s">
        <v>49</v>
      </c>
      <c r="B22" s="10">
        <v>1</v>
      </c>
      <c r="C22" s="11">
        <v>10.27</v>
      </c>
      <c r="D22" s="10" t="s">
        <v>7</v>
      </c>
      <c r="E22" s="31" t="s">
        <v>50</v>
      </c>
    </row>
    <row r="23" spans="1:16">
      <c r="A23" s="27" t="s">
        <v>51</v>
      </c>
      <c r="B23" s="10">
        <v>1</v>
      </c>
      <c r="C23" s="11">
        <v>25</v>
      </c>
      <c r="D23" s="10" t="s">
        <v>7</v>
      </c>
      <c r="E23" s="12" t="s">
        <v>52</v>
      </c>
    </row>
    <row r="24" spans="1:16">
      <c r="A24" s="27" t="s">
        <v>53</v>
      </c>
      <c r="B24" s="10">
        <v>1</v>
      </c>
      <c r="C24" s="11">
        <v>5.58</v>
      </c>
      <c r="D24" s="10" t="s">
        <v>7</v>
      </c>
      <c r="E24" s="32" t="s">
        <v>54</v>
      </c>
    </row>
    <row r="25" spans="1:16">
      <c r="A25" s="30" t="s">
        <v>55</v>
      </c>
      <c r="B25" s="10">
        <v>1</v>
      </c>
      <c r="C25" s="11">
        <v>79.959999999999994</v>
      </c>
      <c r="D25" s="10"/>
      <c r="E25" s="14" t="s">
        <v>56</v>
      </c>
    </row>
    <row r="26" spans="1:16">
      <c r="A26" s="33" t="s">
        <v>57</v>
      </c>
      <c r="B26" s="19">
        <v>1</v>
      </c>
      <c r="C26" s="20">
        <v>54.95</v>
      </c>
      <c r="D26" s="19"/>
      <c r="E26" s="34" t="s">
        <v>58</v>
      </c>
    </row>
    <row r="27" spans="1:16">
      <c r="A27" s="35" t="s">
        <v>59</v>
      </c>
      <c r="B27" s="19">
        <v>1</v>
      </c>
      <c r="C27" s="20">
        <v>19.989999999999998</v>
      </c>
      <c r="D27" s="19" t="s">
        <v>7</v>
      </c>
      <c r="E27" s="34" t="s">
        <v>60</v>
      </c>
    </row>
    <row r="28" spans="1:16" ht="15" thickBot="1">
      <c r="A28" s="36" t="s">
        <v>61</v>
      </c>
      <c r="B28" s="10">
        <v>1</v>
      </c>
      <c r="C28" s="11">
        <v>39.43</v>
      </c>
      <c r="D28" s="10" t="s">
        <v>7</v>
      </c>
      <c r="E28" s="37" t="s">
        <v>62</v>
      </c>
    </row>
    <row r="29" spans="1:16" ht="14.45" customHeight="1">
      <c r="A29" s="46" t="s">
        <v>63</v>
      </c>
      <c r="B29" s="47"/>
      <c r="C29" s="47"/>
      <c r="D29" s="47"/>
      <c r="E29" s="48"/>
    </row>
    <row r="30" spans="1:16">
      <c r="A30" s="49"/>
      <c r="B30" s="50"/>
      <c r="C30" s="50"/>
      <c r="D30" s="50"/>
      <c r="E30" s="51"/>
    </row>
    <row r="31" spans="1:16">
      <c r="A31" s="49"/>
      <c r="B31" s="50"/>
      <c r="C31" s="50"/>
      <c r="D31" s="50"/>
      <c r="E31" s="51"/>
    </row>
    <row r="32" spans="1:16">
      <c r="A32" s="49"/>
      <c r="B32" s="50"/>
      <c r="C32" s="50"/>
      <c r="D32" s="50"/>
      <c r="E32" s="51"/>
    </row>
    <row r="33" spans="1:8" ht="15" thickBot="1">
      <c r="A33" s="52"/>
      <c r="B33" s="53"/>
      <c r="C33" s="53"/>
      <c r="D33" s="53"/>
      <c r="E33" s="54"/>
    </row>
    <row r="35" spans="1:8">
      <c r="A35" t="s">
        <v>64</v>
      </c>
    </row>
    <row r="36" spans="1:8">
      <c r="B36" s="38" t="s">
        <v>65</v>
      </c>
      <c r="C36" s="39">
        <f>SUMPRODUCT((C2:C28),(B2:B28))</f>
        <v>851.68000000000006</v>
      </c>
    </row>
    <row r="37" spans="1:8">
      <c r="B37" s="38" t="s">
        <v>66</v>
      </c>
    </row>
    <row r="38" spans="1:8">
      <c r="B38" s="38" t="s">
        <v>67</v>
      </c>
    </row>
    <row r="39" spans="1:8">
      <c r="B39" s="38" t="s">
        <v>68</v>
      </c>
    </row>
    <row r="40" spans="1:8">
      <c r="G40" t="s">
        <v>69</v>
      </c>
      <c r="H40" s="40">
        <f>C36</f>
        <v>851.68000000000006</v>
      </c>
    </row>
    <row r="41" spans="1:8">
      <c r="B41" s="38" t="s">
        <v>70</v>
      </c>
      <c r="C41" s="39">
        <f>C36*0.1</f>
        <v>85.168000000000006</v>
      </c>
      <c r="G41" t="s">
        <v>71</v>
      </c>
      <c r="H41" s="40">
        <f>C41</f>
        <v>85.168000000000006</v>
      </c>
    </row>
    <row r="42" spans="1:8">
      <c r="B42" s="38" t="s">
        <v>72</v>
      </c>
      <c r="C42" s="39">
        <f>C36+C41</f>
        <v>936.84800000000007</v>
      </c>
      <c r="G42" t="s">
        <v>73</v>
      </c>
      <c r="H42" s="40">
        <f>C43</f>
        <v>263.15199999999982</v>
      </c>
    </row>
    <row r="43" spans="1:8">
      <c r="B43" s="38" t="s">
        <v>74</v>
      </c>
      <c r="C43" s="39">
        <f>1200-C41-C36</f>
        <v>263.15199999999982</v>
      </c>
    </row>
  </sheetData>
  <mergeCells count="1">
    <mergeCell ref="A29:E33"/>
  </mergeCells>
  <hyperlinks>
    <hyperlink ref="E10" r:id="rId1" xr:uid="{B087F743-53A9-4D44-B958-5F406C5E604D}"/>
    <hyperlink ref="E24" r:id="rId2" display="https://www.amazon.com/Black-Plastic-1-Pack-Textured-Smooth/dp/B0FRSWYT3Z/ref=sr_1_1_sspa?dib=eyJ2IjoiMSJ9.Mec5jvPeNknVrMadqG91omPmO5Yv9oRf8F2n0Pb-D8B20KTXw0Qpvomykl-hMnnYfo_k9O_yH4vN2thGRC5LsU-PxVaX9LidMPRDvwJzjibIFVf-FlMFs3kUePqTo9xaI-4VsJu04mnLtqCEO_6iqUJK-rjQP0Figf7ekZT1_dJr3lecgGbMLc9JIejBpR5B8lxXq213czzFTIHyDfQ2WQpLJKut6auvP_hOaYeV0iA.DG4vD6EkBjdbcwYHwV9c2SBumkB2Y7pQFVW9ktL5vkE&amp;dib_tag=se&amp;keywords=abs%2Bplastic%2Bsheet&amp;qid=1790117919&amp;sr=8-1-spons&amp;sp_csd=d2lkZ2V0TmFtZT1zcF9hdGY&amp;th=1" xr:uid="{72F50DEA-EBBD-49A5-956B-4F02EE14315E}"/>
    <hyperlink ref="E22" r:id="rId3" location="see-more-details" xr:uid="{A271C816-E034-4FC9-BF8A-87AB6339F456}"/>
    <hyperlink ref="E21" r:id="rId4" xr:uid="{30A50B32-3655-4BC7-9230-5626857686C4}"/>
    <hyperlink ref="E14" r:id="rId5" xr:uid="{7963F11F-16B1-49AF-BE9A-0C28D3146150}"/>
    <hyperlink ref="E15" r:id="rId6" xr:uid="{D637E089-7046-47F1-A5D3-971492A4C1AB}"/>
    <hyperlink ref="E19" r:id="rId7" xr:uid="{4E495135-2320-47D6-B1CE-900C67F870A1}"/>
    <hyperlink ref="E20" r:id="rId8" xr:uid="{5FD09F1D-23E5-4E3C-968A-0A77D95A059A}"/>
    <hyperlink ref="E23" r:id="rId9" location="see-more-details" xr:uid="{34A08E83-7C03-4C47-9837-AE6EACC5F8B4}"/>
    <hyperlink ref="E4" r:id="rId10" xr:uid="{E531355C-0440-4184-AD17-95AF14029BF4}"/>
    <hyperlink ref="E3" r:id="rId11" xr:uid="{CCD03680-09A1-4DD3-9873-4E8B3E68D3E1}"/>
    <hyperlink ref="E2" r:id="rId12" xr:uid="{B0BEB379-3C1F-4276-AF18-5A2A9131ECFC}"/>
    <hyperlink ref="E6" r:id="rId13" xr:uid="{38873CF1-2FD9-4502-B340-07C38BF88016}"/>
    <hyperlink ref="E9" r:id="rId14" display="https://www.digikey.com/en/products/detail/dfrobot/SEN0313/11202720?gclsrc=aw.ds&amp;gad_source=1&amp;gad_campaignid=20243136172&amp;gbraid=0AAAAADrbLljzA-nczbmqW1SiXwCr3dv0z&amp;gclid=CjwKCAjw_9bWBhBGEiwAomyTIk6Q6M1qhS4U40Nx0P8JuW85MfIx7_fodTHbIcTkwjCBTCSnS-PrFxoCjZ4QAvD_BwE" xr:uid="{8C52D61C-252E-4F39-A144-6C212DB7DE6F}"/>
    <hyperlink ref="E16" r:id="rId15" xr:uid="{10EC4940-919A-43B9-98B8-49C19632BA7B}"/>
    <hyperlink ref="E18" r:id="rId16" xr:uid="{BA01A6F9-E22E-4655-BCC2-8CB5967E2466}"/>
    <hyperlink ref="E26" r:id="rId17" xr:uid="{F29028C9-29DC-4DCF-8705-86FFE8D47C9E}"/>
    <hyperlink ref="E25" r:id="rId18" xr:uid="{9CE2C321-C66E-4CE6-840C-E85688B61756}"/>
    <hyperlink ref="E13" r:id="rId19" xr:uid="{341A147C-047C-44BB-B894-EADCF03F64F3}"/>
    <hyperlink ref="E12" r:id="rId20" display="https://www.digikey.com/en/products/detail/dfrobot/FIT0737/13688358?gclsrc=aw.ds&amp;gad_source=1&amp;gad_campaignid=20476884656&amp;gbraid=0AAAAADrbLlgy9ud0rDQf6KNhbmRjnq4C4&amp;gclid=CjwKCAjw_9bWBhBGEiwAomyTIrW_8BFcT-e7uxJEboR_0AxwtVOZY75uyfJnRMVXtrokxaNawrE3WRoCAMEQAvD_BwE " xr:uid="{2F8742DA-9EF4-4DC7-83D7-30AD306D675B}"/>
    <hyperlink ref="E17" r:id="rId21" xr:uid="{1D6A2470-683F-437A-92BE-FD981CC95A2F}"/>
    <hyperlink ref="E7" r:id="rId22" display="https://www.digikey.com/en/products/detail/littelfuse-inc/0235003.HXP/778150?gclsrc=aw.ds&amp;gad_source=1&amp;gad_campaignid=20509825838&amp;gbraid=0AAAAADrbLliOZ3R3xOoDQuBwg34a3QUTr&amp;gclid=CjwKCAjw_9bWBhBGEiwAomyTIqDZFPWoVRsypvaxN5nSMObSnLfiMJCp67h4c5Kz3ydJrPBBRnwZXRoCe8wQAvD_BwE" xr:uid="{FF907538-D1ED-4DF1-9D64-F2A2B8E974ED}"/>
    <hyperlink ref="E5" r:id="rId23" display="https://www.amazon.com/SVPRO-Outdoor-Waterproof-Surveillance-Android/dp/B07C1N9R4Z?crid=3ETF8KH81TTKN&amp;dib=eyJ2IjoiMSJ9.o3AaTDvtcRY6_jgARQOVUJ3crKtbrMI_QAqbZ-46VUApcwJYEaOE7RQEGIfq87lufwb6bGCW4t5zkfDkWnMxah3PfX4eY8WuEvcUE2fFyid2PxZuQYBe6_e4V9K81-47LyOhaLBEF8zZLOttnhKvb_G7SUqmmRMft6Ob6PXtRktLFWI7kD70x5NJOHjvwJoa54W-urjFrc3qqFu9Icxrgp3x_c410wldKqjBV1o2wqE.K59R3Aa-uQyyx4fUwFyMFDyXIS1kJQ1tOWKeeRu5uhQ&amp;dib_tag=se&amp;keywords=usb%2Boutdoor%2Bcamera&amp;qid=1789516069&amp;sprefix=usb%2Boutdoor%2Bcamera%2Caps%2C187&amp;sr=8-3&amp;th=1" xr:uid="{C360CB0C-5FBE-4514-A4DC-122AA937CBB4}"/>
    <hyperlink ref="E11" r:id="rId24" xr:uid="{B18A4DCC-BC1B-45E1-9552-55713F68C1F8}"/>
    <hyperlink ref="E8" r:id="rId25" xr:uid="{27E848FE-FA0E-4B1C-B907-6E25EE0FDA8B}"/>
    <hyperlink ref="E28" r:id="rId26" display="https://www.amazon.com/SanDisk-Extreme-microSDXC-Memory-Adapter/dp/B09X7BK27V/ref=sr_1_1?crid=3KHDWWZ6WS1LB&amp;dib=eyJ2IjoiMSJ9.c7kpdEw6lW7whup1akInVT8u5UYQcKafh6fIlzqp1Jq0ZWdIvYwBSdCLFWdECgjORyMRd5aStyhIaW1-KdQMjFEqWvHNhawQJXUbGzkY3qPLE3cJKddVrfgtzJl7nbUKEuQznMau5wuytcLtBGm1Db86pqW1s_zRGu8opVQk1IqymQMSyzdXGDiaDqQ_o0lrDY3z-4Qwx92Fq68hkJO5X9gpsX4AfrQaVffugWLKm5yG3B2gZSRGtkmRLUlHO5XiXkTD4-0BZZmuwYLrV1Fwuk0fQaE8xOJ6DCJOktFjQss.TEC0EpmBeKcJqkXBjfo6Ir4QLdCv9RF5rzFzaqiuv9Y&amp;dib_tag=se&amp;keywords=sandisk+128+gb+microsd&amp;qid=1792701723&amp;s=electronics&amp;sprefix=sandisk+128+gb+micro%2Celectronics%2C537&amp;sr=1-1" xr:uid="{6DEFEDEC-C06F-44C6-AD29-B2A4EB57CC6B}"/>
  </hyperlinks>
  <pageMargins left="0.7" right="0.7" top="0.75" bottom="0.75" header="0.3" footer="0.3"/>
  <pageSetup orientation="portrait" r:id="rId27"/>
  <drawing r:id="rId2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Halle Wilson</dc:creator>
  <cp:keywords/>
  <dc:description/>
  <cp:lastModifiedBy/>
  <cp:revision/>
  <dcterms:created xsi:type="dcterms:W3CDTF">2026-10-19T21:45:28Z</dcterms:created>
  <dcterms:modified xsi:type="dcterms:W3CDTF">2026-10-26T01:56:35Z</dcterms:modified>
  <cp:category/>
  <cp:contentStatus/>
</cp:coreProperties>
</file>
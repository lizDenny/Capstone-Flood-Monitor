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1f7283c468042cc5/Documents/"/>
    </mc:Choice>
  </mc:AlternateContent>
  <xr:revisionPtr revIDLastSave="0" documentId="8_{996FA37A-B793-46E2-82EF-7DAD3531DEB3}" xr6:coauthVersionLast="47" xr6:coauthVersionMax="47" xr10:uidLastSave="{00000000-0000-0000-0000-000000000000}"/>
  <bookViews>
    <workbookView xWindow="-108" yWindow="-108" windowWidth="23256" windowHeight="13896" xr2:uid="{22D7696C-7C29-465E-B0EB-2E1AB7D4625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7" i="1" l="1"/>
  <c r="I7" i="1" s="1"/>
  <c r="D7" i="1"/>
  <c r="E7" i="1" s="1"/>
  <c r="H6" i="1"/>
  <c r="I6" i="1" s="1"/>
  <c r="D6" i="1"/>
  <c r="E6" i="1" s="1"/>
  <c r="H5" i="1"/>
  <c r="I5" i="1" s="1"/>
  <c r="D5" i="1"/>
  <c r="E5" i="1" s="1"/>
  <c r="H4" i="1"/>
  <c r="I4" i="1" s="1"/>
  <c r="I9" i="1" s="1"/>
  <c r="D4" i="1"/>
  <c r="E4" i="1" s="1"/>
  <c r="E9" i="1" s="1"/>
</calcChain>
</file>

<file path=xl/sharedStrings.xml><?xml version="1.0" encoding="utf-8"?>
<sst xmlns="http://schemas.openxmlformats.org/spreadsheetml/2006/main" count="14" uniqueCount="9">
  <si>
    <t>Case 1 (Normal): 30 sec/15 min</t>
  </si>
  <si>
    <t>Case 2 (Flood): 1 min/5 min</t>
  </si>
  <si>
    <t>On Time</t>
  </si>
  <si>
    <t>HL Wattage</t>
  </si>
  <si>
    <t>Avg power cons</t>
  </si>
  <si>
    <t>Daily cons</t>
  </si>
  <si>
    <t>Total:</t>
  </si>
  <si>
    <r>
      <rPr>
        <b/>
        <sz val="11"/>
        <color rgb="FF000000"/>
        <rFont val="Aptos Narrow"/>
        <scheme val="minor"/>
      </rPr>
      <t xml:space="preserve">ASSUMPTION: </t>
    </r>
    <r>
      <rPr>
        <sz val="11"/>
        <color rgb="FF000000"/>
        <rFont val="Aptos Narrow"/>
        <scheme val="minor"/>
      </rPr>
      <t xml:space="preserve">Flood conditions will not last 24 hours. The last major flood on McFarland lasted for approximately 3 hours (documented in Tuscaloosa news). To give a very conservative estimate of power consumption, we will assume that flood conditions will last up to 6 hours. This means that the daily power consumption of the device on a day which experiences flooding would be 20.6 W (53.6(0.25)+9.7(0.75)). This will be the "worst-case" scenario we prepare for. </t>
    </r>
  </si>
  <si>
    <r>
      <rPr>
        <b/>
        <sz val="11"/>
        <color rgb="FF000000"/>
        <rFont val="Aptos Narrow"/>
        <scheme val="minor"/>
      </rPr>
      <t xml:space="preserve">NOTES: </t>
    </r>
    <r>
      <rPr>
        <sz val="11"/>
        <color rgb="FF000000"/>
        <rFont val="Aptos Narrow"/>
        <scheme val="minor"/>
      </rPr>
      <t>We chose "flood mode" to run on a five minute schedule because that is the same schedule that the NWS severe weather and warnings uses. We chose "normal mode" to run in 15 minute intervals to get the best lifespan out of the battery, while also ensuring no major flooding events are missed.</t>
    </r>
    <r>
      <rPr>
        <b/>
        <sz val="11"/>
        <color rgb="FF000000"/>
        <rFont val="Aptos Narrow"/>
        <scheme val="minor"/>
      </rPr>
      <t xml:space="preserve"> </t>
    </r>
    <r>
      <rPr>
        <sz val="11"/>
        <color rgb="FF000000"/>
        <rFont val="Aptos Narrow"/>
        <scheme val="minor"/>
      </rPr>
      <t xml:space="preserve">We must also account for transmission line and converter loss. For this, we will add approximately 4 W to the 20.6, giving us 24.6 W. Solar panels have an efficiency of about 80% and get about 4 hours of peak sunlight each day. To find the minimum solar panel rating, we took 24.6/(4*0.8), which produced a value of 7.71 W. When accounting for weather and aging, the best range for a solar panel is from 12 W - 20 W. We are opting for a 20 W panel to account for any unexpected losses, minimal sun days, the unsurety surrounding idling, and the fact that we do not have the exact sensor models for the camera and radar.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</si>
</sst>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000000"/>
      <name val="Aptos Narrow"/>
      <scheme val="minor"/>
    </font>
    <font>
      <b/>
      <sz val="11"/>
      <color rgb="FF000000"/>
      <name val="Aptos Narrow"/>
      <scheme val="minor"/>
    </font>
  </fonts>
  <fills count="2">
    <fill>
      <patternFill patternType="none"/>
    </fill>
    <fill>
      <patternFill patternType="gray125"/>
    </fill>
  </fills>
  <borders count="2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9">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2" fillId="0" borderId="1" xfId="0" applyFont="1"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20" xfId="0" applyBorder="1" applyAlignment="1">
      <alignment horizontal="center" vertical="top" wrapText="1"/>
    </xf>
    <xf numFmtId="0" fontId="0" fillId="0" borderId="0" xfId="0" applyAlignment="1">
      <alignment horizontal="center" vertical="top" wrapText="1"/>
    </xf>
    <xf numFmtId="0" fontId="0" fillId="0" borderId="21" xfId="0" applyBorder="1" applyAlignment="1">
      <alignment horizontal="center" vertical="top" wrapText="1"/>
    </xf>
    <xf numFmtId="0" fontId="0" fillId="0" borderId="22" xfId="0" applyBorder="1" applyAlignment="1">
      <alignment horizontal="center" vertical="top" wrapText="1"/>
    </xf>
    <xf numFmtId="0" fontId="0" fillId="0" borderId="23" xfId="0" applyBorder="1" applyAlignment="1">
      <alignment horizontal="center" vertical="top" wrapText="1"/>
    </xf>
    <xf numFmtId="0" fontId="0" fillId="0" borderId="24" xfId="0"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40329-2130-428F-8844-78FD6E0C9DC4}">
  <dimension ref="B1:I22"/>
  <sheetViews>
    <sheetView tabSelected="1" workbookViewId="0">
      <selection activeCell="L19" sqref="L19"/>
    </sheetView>
  </sheetViews>
  <sheetFormatPr defaultRowHeight="14.4" x14ac:dyDescent="0.3"/>
  <cols>
    <col min="2" max="9" width="12.77734375" customWidth="1"/>
  </cols>
  <sheetData>
    <row r="1" spans="2:9" ht="15" thickBot="1" x14ac:dyDescent="0.35"/>
    <row r="2" spans="2:9" ht="15" thickBot="1" x14ac:dyDescent="0.35">
      <c r="B2" s="1" t="s">
        <v>0</v>
      </c>
      <c r="C2" s="2"/>
      <c r="D2" s="2"/>
      <c r="E2" s="3"/>
      <c r="F2" s="1" t="s">
        <v>1</v>
      </c>
      <c r="G2" s="2"/>
      <c r="H2" s="2"/>
      <c r="I2" s="3"/>
    </row>
    <row r="3" spans="2:9" ht="15" thickBot="1" x14ac:dyDescent="0.35">
      <c r="B3" s="4" t="s">
        <v>2</v>
      </c>
      <c r="C3" s="5" t="s">
        <v>3</v>
      </c>
      <c r="D3" s="5" t="s">
        <v>4</v>
      </c>
      <c r="E3" s="6" t="s">
        <v>5</v>
      </c>
      <c r="F3" s="4" t="s">
        <v>2</v>
      </c>
      <c r="G3" s="5" t="s">
        <v>3</v>
      </c>
      <c r="H3" s="5" t="s">
        <v>4</v>
      </c>
      <c r="I3" s="7" t="s">
        <v>5</v>
      </c>
    </row>
    <row r="4" spans="2:9" x14ac:dyDescent="0.3">
      <c r="B4" s="8">
        <v>3.3300000000000003E-2</v>
      </c>
      <c r="C4" s="9">
        <v>8</v>
      </c>
      <c r="D4" s="9">
        <f>C4*B4</f>
        <v>0.26640000000000003</v>
      </c>
      <c r="E4" s="10">
        <f>D4*24</f>
        <v>6.3936000000000011</v>
      </c>
      <c r="F4" s="8">
        <v>0.2</v>
      </c>
      <c r="G4" s="9">
        <v>8</v>
      </c>
      <c r="H4" s="9">
        <f>G4*F4</f>
        <v>1.6</v>
      </c>
      <c r="I4" s="11">
        <f>H4*24</f>
        <v>38.400000000000006</v>
      </c>
    </row>
    <row r="5" spans="2:9" x14ac:dyDescent="0.3">
      <c r="B5" s="8">
        <v>3.3300000000000003E-2</v>
      </c>
      <c r="C5" s="12">
        <v>3</v>
      </c>
      <c r="D5" s="12">
        <f>C5*B5</f>
        <v>9.9900000000000017E-2</v>
      </c>
      <c r="E5" s="13">
        <f>D5*24</f>
        <v>2.3976000000000006</v>
      </c>
      <c r="F5" s="8">
        <v>0.2</v>
      </c>
      <c r="G5" s="12">
        <v>3</v>
      </c>
      <c r="H5" s="12">
        <f>G5*F5</f>
        <v>0.60000000000000009</v>
      </c>
      <c r="I5" s="14">
        <f>H5*24</f>
        <v>14.400000000000002</v>
      </c>
    </row>
    <row r="6" spans="2:9" x14ac:dyDescent="0.3">
      <c r="B6" s="15">
        <v>0.96699999999999997</v>
      </c>
      <c r="C6" s="12">
        <v>0.03</v>
      </c>
      <c r="D6" s="9">
        <f>C6*B6</f>
        <v>2.9009999999999998E-2</v>
      </c>
      <c r="E6" s="10">
        <f>D6*24</f>
        <v>0.69623999999999997</v>
      </c>
      <c r="F6" s="8">
        <v>0.8</v>
      </c>
      <c r="G6" s="12">
        <v>0.03</v>
      </c>
      <c r="H6" s="9">
        <f>G6*F6</f>
        <v>2.4E-2</v>
      </c>
      <c r="I6" s="11">
        <f>H6*24</f>
        <v>0.57600000000000007</v>
      </c>
    </row>
    <row r="7" spans="2:9" x14ac:dyDescent="0.3">
      <c r="B7" s="15">
        <v>0.96699999999999997</v>
      </c>
      <c r="C7" s="12">
        <v>0.01</v>
      </c>
      <c r="D7" s="12">
        <f>C7*B7</f>
        <v>9.6699999999999998E-3</v>
      </c>
      <c r="E7" s="13">
        <f>D7*24</f>
        <v>0.23208000000000001</v>
      </c>
      <c r="F7" s="8">
        <v>0.8</v>
      </c>
      <c r="G7" s="12">
        <v>0.01</v>
      </c>
      <c r="H7" s="12">
        <f>G7*F7</f>
        <v>8.0000000000000002E-3</v>
      </c>
      <c r="I7" s="14">
        <f>H7*24</f>
        <v>0.192</v>
      </c>
    </row>
    <row r="8" spans="2:9" x14ac:dyDescent="0.3">
      <c r="B8" s="15"/>
      <c r="C8" s="12"/>
      <c r="D8" s="12"/>
      <c r="E8" s="13"/>
      <c r="F8" s="15"/>
      <c r="G8" s="12"/>
      <c r="H8" s="12"/>
      <c r="I8" s="14"/>
    </row>
    <row r="9" spans="2:9" ht="15" thickBot="1" x14ac:dyDescent="0.35">
      <c r="B9" s="16"/>
      <c r="C9" s="17"/>
      <c r="D9" s="17" t="s">
        <v>6</v>
      </c>
      <c r="E9" s="18">
        <f>SUM(E4:E8)</f>
        <v>9.719520000000001</v>
      </c>
      <c r="F9" s="16"/>
      <c r="G9" s="17"/>
      <c r="H9" s="17" t="s">
        <v>6</v>
      </c>
      <c r="I9" s="19">
        <f>SUM(I4:I8)</f>
        <v>53.568000000000012</v>
      </c>
    </row>
    <row r="10" spans="2:9" ht="15" thickBot="1" x14ac:dyDescent="0.35"/>
    <row r="11" spans="2:9" x14ac:dyDescent="0.3">
      <c r="B11" s="20" t="s">
        <v>7</v>
      </c>
      <c r="C11" s="21"/>
      <c r="D11" s="21"/>
      <c r="E11" s="21"/>
      <c r="F11" s="21"/>
      <c r="G11" s="21"/>
      <c r="H11" s="21"/>
      <c r="I11" s="22"/>
    </row>
    <row r="12" spans="2:9" x14ac:dyDescent="0.3">
      <c r="B12" s="23"/>
      <c r="C12" s="24"/>
      <c r="D12" s="24"/>
      <c r="E12" s="24"/>
      <c r="F12" s="24"/>
      <c r="G12" s="24"/>
      <c r="H12" s="24"/>
      <c r="I12" s="25"/>
    </row>
    <row r="13" spans="2:9" x14ac:dyDescent="0.3">
      <c r="B13" s="23"/>
      <c r="C13" s="24"/>
      <c r="D13" s="24"/>
      <c r="E13" s="24"/>
      <c r="F13" s="24"/>
      <c r="G13" s="24"/>
      <c r="H13" s="24"/>
      <c r="I13" s="25"/>
    </row>
    <row r="14" spans="2:9" ht="15" thickBot="1" x14ac:dyDescent="0.35">
      <c r="B14" s="26"/>
      <c r="C14" s="27"/>
      <c r="D14" s="27"/>
      <c r="E14" s="27"/>
      <c r="F14" s="27"/>
      <c r="G14" s="27"/>
      <c r="H14" s="27"/>
      <c r="I14" s="28"/>
    </row>
    <row r="15" spans="2:9" x14ac:dyDescent="0.3">
      <c r="B15" s="20" t="s">
        <v>8</v>
      </c>
      <c r="C15" s="21"/>
      <c r="D15" s="21"/>
      <c r="E15" s="21"/>
      <c r="F15" s="21"/>
      <c r="G15" s="21"/>
      <c r="H15" s="21"/>
      <c r="I15" s="22"/>
    </row>
    <row r="16" spans="2:9" x14ac:dyDescent="0.3">
      <c r="B16" s="23"/>
      <c r="C16" s="24"/>
      <c r="D16" s="24"/>
      <c r="E16" s="24"/>
      <c r="F16" s="24"/>
      <c r="G16" s="24"/>
      <c r="H16" s="24"/>
      <c r="I16" s="25"/>
    </row>
    <row r="17" spans="2:9" x14ac:dyDescent="0.3">
      <c r="B17" s="23"/>
      <c r="C17" s="24"/>
      <c r="D17" s="24"/>
      <c r="E17" s="24"/>
      <c r="F17" s="24"/>
      <c r="G17" s="24"/>
      <c r="H17" s="24"/>
      <c r="I17" s="25"/>
    </row>
    <row r="18" spans="2:9" x14ac:dyDescent="0.3">
      <c r="B18" s="23"/>
      <c r="C18" s="24"/>
      <c r="D18" s="24"/>
      <c r="E18" s="24"/>
      <c r="F18" s="24"/>
      <c r="G18" s="24"/>
      <c r="H18" s="24"/>
      <c r="I18" s="25"/>
    </row>
    <row r="19" spans="2:9" x14ac:dyDescent="0.3">
      <c r="B19" s="23"/>
      <c r="C19" s="24"/>
      <c r="D19" s="24"/>
      <c r="E19" s="24"/>
      <c r="F19" s="24"/>
      <c r="G19" s="24"/>
      <c r="H19" s="24"/>
      <c r="I19" s="25"/>
    </row>
    <row r="20" spans="2:9" x14ac:dyDescent="0.3">
      <c r="B20" s="23"/>
      <c r="C20" s="24"/>
      <c r="D20" s="24"/>
      <c r="E20" s="24"/>
      <c r="F20" s="24"/>
      <c r="G20" s="24"/>
      <c r="H20" s="24"/>
      <c r="I20" s="25"/>
    </row>
    <row r="21" spans="2:9" x14ac:dyDescent="0.3">
      <c r="B21" s="23"/>
      <c r="C21" s="24"/>
      <c r="D21" s="24"/>
      <c r="E21" s="24"/>
      <c r="F21" s="24"/>
      <c r="G21" s="24"/>
      <c r="H21" s="24"/>
      <c r="I21" s="25"/>
    </row>
    <row r="22" spans="2:9" ht="15" thickBot="1" x14ac:dyDescent="0.35">
      <c r="B22" s="26"/>
      <c r="C22" s="27"/>
      <c r="D22" s="27"/>
      <c r="E22" s="27"/>
      <c r="F22" s="27"/>
      <c r="G22" s="27"/>
      <c r="H22" s="27"/>
      <c r="I22" s="28"/>
    </row>
  </sheetData>
  <mergeCells count="4">
    <mergeCell ref="B2:E2"/>
    <mergeCell ref="F2:I2"/>
    <mergeCell ref="B11:I14"/>
    <mergeCell ref="B15:I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Halle Wilson</dc:creator>
  <cp:lastModifiedBy>Halle Wilson</cp:lastModifiedBy>
  <dcterms:created xsi:type="dcterms:W3CDTF">2026-10-26T01:59:29Z</dcterms:created>
  <dcterms:modified xsi:type="dcterms:W3CDTF">2026-10-26T02:02:41Z</dcterms:modified>
</cp:coreProperties>
</file>